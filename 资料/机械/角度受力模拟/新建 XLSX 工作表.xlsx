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宝文件\工作\敏捷机动车辆\V1\机械\角度受力模拟\"/>
    </mc:Choice>
  </mc:AlternateContent>
  <xr:revisionPtr revIDLastSave="0" documentId="13_ncr:1_{FDDD7FFE-E79E-422B-9FDB-BDD630A2849D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无平衡" sheetId="3" r:id="rId2"/>
    <sheet name="无平衡全程" sheetId="4" r:id="rId3"/>
    <sheet name="4" sheetId="5" r:id="rId4"/>
    <sheet name="4更改" sheetId="6" r:id="rId5"/>
    <sheet name="等长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6" l="1"/>
  <c r="E19" i="6" s="1"/>
  <c r="C18" i="6"/>
  <c r="E18" i="6" s="1"/>
  <c r="E17" i="6"/>
  <c r="C17" i="6"/>
  <c r="C16" i="6"/>
  <c r="E16" i="6" s="1"/>
  <c r="C15" i="6"/>
  <c r="E15" i="6" s="1"/>
  <c r="C14" i="6"/>
  <c r="E14" i="6" s="1"/>
  <c r="E13" i="6"/>
  <c r="C13" i="6"/>
  <c r="C12" i="6"/>
  <c r="E12" i="6" s="1"/>
  <c r="C11" i="6"/>
  <c r="E11" i="6" s="1"/>
  <c r="C10" i="6"/>
  <c r="E10" i="6" s="1"/>
  <c r="E9" i="6"/>
  <c r="C9" i="6"/>
  <c r="C8" i="6"/>
  <c r="E8" i="6" s="1"/>
  <c r="C7" i="6"/>
  <c r="E7" i="6" s="1"/>
  <c r="C6" i="6"/>
  <c r="E6" i="6" s="1"/>
  <c r="E5" i="6"/>
  <c r="C5" i="6"/>
  <c r="C4" i="6"/>
  <c r="E4" i="6" s="1"/>
  <c r="C3" i="6"/>
  <c r="E3" i="6" s="1"/>
  <c r="C2" i="6"/>
  <c r="E2" i="6" s="1"/>
  <c r="C19" i="5"/>
  <c r="E19" i="5" s="1"/>
  <c r="C18" i="5"/>
  <c r="E18" i="5" s="1"/>
  <c r="C17" i="5"/>
  <c r="E17" i="5" s="1"/>
  <c r="C16" i="5"/>
  <c r="E16" i="5" s="1"/>
  <c r="C15" i="5"/>
  <c r="E15" i="5" s="1"/>
  <c r="C14" i="5"/>
  <c r="E14" i="5" s="1"/>
  <c r="C13" i="5"/>
  <c r="E13" i="5" s="1"/>
  <c r="C12" i="5"/>
  <c r="E12" i="5" s="1"/>
  <c r="C11" i="5"/>
  <c r="E11" i="5" s="1"/>
  <c r="C10" i="5"/>
  <c r="E10" i="5" s="1"/>
  <c r="C9" i="5"/>
  <c r="E9" i="5" s="1"/>
  <c r="C8" i="5"/>
  <c r="E8" i="5" s="1"/>
  <c r="C7" i="5"/>
  <c r="E7" i="5" s="1"/>
  <c r="C6" i="5"/>
  <c r="E6" i="5" s="1"/>
  <c r="C5" i="5"/>
  <c r="E5" i="5" s="1"/>
  <c r="C4" i="5"/>
  <c r="E4" i="5" s="1"/>
  <c r="C3" i="5"/>
  <c r="E3" i="5" s="1"/>
  <c r="C2" i="5"/>
  <c r="E2" i="5" s="1"/>
  <c r="C19" i="4"/>
  <c r="E19" i="4" s="1"/>
  <c r="C18" i="4"/>
  <c r="E18" i="4" s="1"/>
  <c r="E17" i="4"/>
  <c r="C17" i="4"/>
  <c r="C16" i="4"/>
  <c r="E16" i="4" s="1"/>
  <c r="E15" i="4"/>
  <c r="C15" i="4"/>
  <c r="C14" i="4"/>
  <c r="E14" i="4" s="1"/>
  <c r="E13" i="4"/>
  <c r="C13" i="4"/>
  <c r="C12" i="4"/>
  <c r="E12" i="4" s="1"/>
  <c r="E11" i="4"/>
  <c r="C11" i="4"/>
  <c r="C10" i="4"/>
  <c r="E10" i="4" s="1"/>
  <c r="E9" i="4"/>
  <c r="C9" i="4"/>
  <c r="C8" i="4"/>
  <c r="E8" i="4" s="1"/>
  <c r="E7" i="4"/>
  <c r="C7" i="4"/>
  <c r="C6" i="4"/>
  <c r="E6" i="4" s="1"/>
  <c r="E5" i="4"/>
  <c r="C5" i="4"/>
  <c r="C4" i="4"/>
  <c r="E4" i="4" s="1"/>
  <c r="E3" i="4"/>
  <c r="C3" i="4"/>
  <c r="C2" i="4"/>
  <c r="E2" i="4" s="1"/>
  <c r="C19" i="3"/>
  <c r="E19" i="3" s="1"/>
  <c r="C18" i="3"/>
  <c r="E18" i="3" s="1"/>
  <c r="C17" i="3"/>
  <c r="E17" i="3" s="1"/>
  <c r="E16" i="3"/>
  <c r="C16" i="3"/>
  <c r="C15" i="3"/>
  <c r="E15" i="3" s="1"/>
  <c r="C14" i="3"/>
  <c r="E14" i="3" s="1"/>
  <c r="C13" i="3"/>
  <c r="E13" i="3" s="1"/>
  <c r="E12" i="3"/>
  <c r="C12" i="3"/>
  <c r="C11" i="3"/>
  <c r="E11" i="3" s="1"/>
  <c r="C10" i="3"/>
  <c r="E10" i="3" s="1"/>
  <c r="C9" i="3"/>
  <c r="E9" i="3" s="1"/>
  <c r="E8" i="3"/>
  <c r="C8" i="3"/>
  <c r="C7" i="3"/>
  <c r="E7" i="3" s="1"/>
  <c r="C6" i="3"/>
  <c r="E6" i="3" s="1"/>
  <c r="C5" i="3"/>
  <c r="E5" i="3" s="1"/>
  <c r="E4" i="3"/>
  <c r="C4" i="3"/>
  <c r="C3" i="3"/>
  <c r="E3" i="3" s="1"/>
  <c r="C2" i="3"/>
  <c r="E2" i="3" s="1"/>
  <c r="B3" i="2"/>
  <c r="C3" i="2" s="1"/>
  <c r="E3" i="2" s="1"/>
  <c r="B4" i="2"/>
  <c r="E4" i="2" s="1"/>
  <c r="B5" i="2"/>
  <c r="B6" i="2"/>
  <c r="B7" i="2"/>
  <c r="B8" i="2"/>
  <c r="B9" i="2"/>
  <c r="B10" i="2"/>
  <c r="B11" i="2"/>
  <c r="C11" i="2" s="1"/>
  <c r="E11" i="2" s="1"/>
  <c r="B12" i="2"/>
  <c r="B13" i="2"/>
  <c r="B14" i="2"/>
  <c r="B15" i="2"/>
  <c r="B16" i="2"/>
  <c r="B17" i="2"/>
  <c r="B18" i="2"/>
  <c r="E18" i="2" s="1"/>
  <c r="B19" i="2"/>
  <c r="C19" i="2" s="1"/>
  <c r="E19" i="2" s="1"/>
  <c r="B2" i="2"/>
  <c r="C18" i="2"/>
  <c r="C17" i="2"/>
  <c r="E17" i="2" s="1"/>
  <c r="C15" i="2"/>
  <c r="E15" i="2" s="1"/>
  <c r="E14" i="2"/>
  <c r="C14" i="2"/>
  <c r="C13" i="2"/>
  <c r="E13" i="2" s="1"/>
  <c r="C10" i="2"/>
  <c r="E10" i="2" s="1"/>
  <c r="C9" i="2"/>
  <c r="E9" i="2" s="1"/>
  <c r="C7" i="2"/>
  <c r="E7" i="2" s="1"/>
  <c r="E6" i="2"/>
  <c r="C6" i="2"/>
  <c r="C5" i="2"/>
  <c r="E5" i="2" s="1"/>
  <c r="C4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3" i="1"/>
  <c r="E5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  <c r="C4" i="1"/>
  <c r="C2" i="1"/>
  <c r="C16" i="2" l="1"/>
  <c r="E16" i="2" s="1"/>
  <c r="C12" i="2"/>
  <c r="E12" i="2" s="1"/>
  <c r="C8" i="2"/>
  <c r="E8" i="2" s="1"/>
  <c r="C2" i="2"/>
  <c r="E2" i="2" s="1"/>
</calcChain>
</file>

<file path=xl/sharedStrings.xml><?xml version="1.0" encoding="utf-8"?>
<sst xmlns="http://schemas.openxmlformats.org/spreadsheetml/2006/main" count="71" uniqueCount="13">
  <si>
    <t>α，度</t>
    <phoneticPr fontId="1" type="noConversion"/>
  </si>
  <si>
    <t>β，度</t>
    <phoneticPr fontId="1" type="noConversion"/>
  </si>
  <si>
    <t>θ，度</t>
    <phoneticPr fontId="1" type="noConversion"/>
  </si>
  <si>
    <t>F，牛</t>
    <phoneticPr fontId="1" type="noConversion"/>
  </si>
  <si>
    <t>N，牛在90mm长度</t>
    <phoneticPr fontId="1" type="noConversion"/>
  </si>
  <si>
    <t>大腿长，mm</t>
    <phoneticPr fontId="1" type="noConversion"/>
  </si>
  <si>
    <t>小腿长，mm</t>
    <phoneticPr fontId="1" type="noConversion"/>
  </si>
  <si>
    <t>已知：</t>
    <phoneticPr fontId="1" type="noConversion"/>
  </si>
  <si>
    <t>中心间距，mm</t>
    <phoneticPr fontId="1" type="noConversion"/>
  </si>
  <si>
    <t>高度，mm</t>
    <phoneticPr fontId="1" type="noConversion"/>
  </si>
  <si>
    <t>弹力系数，牛米每度</t>
    <phoneticPr fontId="1" type="noConversion"/>
  </si>
  <si>
    <t>15度平衡点，7度实用最低值，30度正常位，65度缓冲预备位</t>
    <phoneticPr fontId="1" type="noConversion"/>
  </si>
  <si>
    <t>7度实用最低值，30度正常位，65度缓冲预备位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</si>
</sst>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ill="1"/>
    <xf numFmtId="176" fontId="0" fillId="0" borderId="0" xfId="0" applyNumberFormat="1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Sheet1!$E$2:$E$19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A9-42E1-ADBA-157A68F6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A9-42E1-ADBA-157A68F6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无平衡!$E$1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无平衡!$A$2:$A$19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无平衡!$E$2:$E$19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A-424B-ABD9-9E0AD41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无平衡!$D$1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无平衡!$D$2:$D$19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0A-424B-ABD9-9E0AD41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无平衡全程!$E$1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无平衡全程!$A$2:$A$19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无平衡全程!$E$2:$E$19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1-494C-B547-CD5251CA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无平衡全程!$D$1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无平衡全程!$D$2:$D$19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1-494C-B547-CD5251CA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'4'!$A$2:$A$19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'4'!$E$2:$E$19</c:f>
              <c:numCache>
                <c:formatCode>0.00_ </c:formatCode>
                <c:ptCount val="18"/>
                <c:pt idx="0">
                  <c:v>14.593195081580612</c:v>
                </c:pt>
                <c:pt idx="1">
                  <c:v>16.779260554261381</c:v>
                </c:pt>
                <c:pt idx="2">
                  <c:v>18.139595134022059</c:v>
                </c:pt>
                <c:pt idx="3">
                  <c:v>18.686819792459382</c:v>
                </c:pt>
                <c:pt idx="4">
                  <c:v>18.543749032038299</c:v>
                </c:pt>
                <c:pt idx="5">
                  <c:v>17.857204791685319</c:v>
                </c:pt>
                <c:pt idx="6">
                  <c:v>16.770086866314323</c:v>
                </c:pt>
                <c:pt idx="7">
                  <c:v>15.384274709417463</c:v>
                </c:pt>
                <c:pt idx="8">
                  <c:v>13.797416743221914</c:v>
                </c:pt>
                <c:pt idx="9">
                  <c:v>12.084617674037405</c:v>
                </c:pt>
                <c:pt idx="10">
                  <c:v>10.323599155115426</c:v>
                </c:pt>
                <c:pt idx="11">
                  <c:v>8.5686456478005315</c:v>
                </c:pt>
                <c:pt idx="12">
                  <c:v>6.8807301903198272</c:v>
                </c:pt>
                <c:pt idx="13">
                  <c:v>5.306178797694149</c:v>
                </c:pt>
                <c:pt idx="14">
                  <c:v>3.8822644253724437</c:v>
                </c:pt>
                <c:pt idx="15">
                  <c:v>2.6449775924855903</c:v>
                </c:pt>
                <c:pt idx="16">
                  <c:v>1.6190188705179216</c:v>
                </c:pt>
                <c:pt idx="17">
                  <c:v>0.81960260701086707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3-43E6-8B64-1DC675F0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'4'!$D$1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'4'!$D$2:$D$19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3-43E6-8B64-1DC675F0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'4更改'!$E$1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'4更改'!$A$2:$A$19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'4更改'!$E$2:$E$19</c:f>
              <c:numCache>
                <c:formatCode>0.00_ </c:formatCode>
                <c:ptCount val="18"/>
                <c:pt idx="0">
                  <c:v>7.5884614424219192</c:v>
                </c:pt>
                <c:pt idx="1">
                  <c:v>8.7252154882159179</c:v>
                </c:pt>
                <c:pt idx="2">
                  <c:v>9.4325894696914734</c:v>
                </c:pt>
                <c:pt idx="3">
                  <c:v>9.717146292078878</c:v>
                </c:pt>
                <c:pt idx="4">
                  <c:v>9.6427494966599152</c:v>
                </c:pt>
                <c:pt idx="5">
                  <c:v>9.2857464916763668</c:v>
                </c:pt>
                <c:pt idx="6">
                  <c:v>8.7204451704834476</c:v>
                </c:pt>
                <c:pt idx="7">
                  <c:v>7.9998228488970815</c:v>
                </c:pt>
                <c:pt idx="8">
                  <c:v>7.1746567064753943</c:v>
                </c:pt>
                <c:pt idx="9">
                  <c:v>6.2840011904994508</c:v>
                </c:pt>
                <c:pt idx="10">
                  <c:v>5.3682715606600215</c:v>
                </c:pt>
                <c:pt idx="11">
                  <c:v>4.4556957368562768</c:v>
                </c:pt>
                <c:pt idx="12">
                  <c:v>3.5779796989663102</c:v>
                </c:pt>
                <c:pt idx="13">
                  <c:v>2.7592129748009571</c:v>
                </c:pt>
                <c:pt idx="14">
                  <c:v>2.0187775011936711</c:v>
                </c:pt>
                <c:pt idx="15">
                  <c:v>1.3753883480925071</c:v>
                </c:pt>
                <c:pt idx="16">
                  <c:v>0.84188981266931928</c:v>
                </c:pt>
                <c:pt idx="17">
                  <c:v>0.42619335564565086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4-4540-BF35-D9111F6A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'4更改'!$D$1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'4更改'!$D$2:$D$19</c:f>
              <c:numCache>
                <c:formatCode>0.00_ </c:formatCode>
                <c:ptCount val="18"/>
                <c:pt idx="0">
                  <c:v>51.62</c:v>
                </c:pt>
                <c:pt idx="1">
                  <c:v>62.71</c:v>
                </c:pt>
                <c:pt idx="2">
                  <c:v>74.05</c:v>
                </c:pt>
                <c:pt idx="3">
                  <c:v>86.78</c:v>
                </c:pt>
                <c:pt idx="4">
                  <c:v>99.93</c:v>
                </c:pt>
                <c:pt idx="5">
                  <c:v>113.17</c:v>
                </c:pt>
                <c:pt idx="6">
                  <c:v>126.21</c:v>
                </c:pt>
                <c:pt idx="7">
                  <c:v>138.83000000000001</c:v>
                </c:pt>
                <c:pt idx="8">
                  <c:v>150.87</c:v>
                </c:pt>
                <c:pt idx="9">
                  <c:v>162.16999999999999</c:v>
                </c:pt>
                <c:pt idx="10">
                  <c:v>172.62</c:v>
                </c:pt>
                <c:pt idx="11">
                  <c:v>182.13</c:v>
                </c:pt>
                <c:pt idx="12">
                  <c:v>190.61</c:v>
                </c:pt>
                <c:pt idx="13">
                  <c:v>197.99</c:v>
                </c:pt>
                <c:pt idx="14">
                  <c:v>204.23</c:v>
                </c:pt>
                <c:pt idx="15">
                  <c:v>209.3</c:v>
                </c:pt>
                <c:pt idx="16">
                  <c:v>213.16</c:v>
                </c:pt>
                <c:pt idx="17">
                  <c:v>215.81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4-4540-BF35-D9111F6A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等长!$E$1</c:f>
              <c:strCache>
                <c:ptCount val="1"/>
                <c:pt idx="0">
                  <c:v>N，牛在90mm长度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等长!$A$2:$A$19</c:f>
              <c:numCache>
                <c:formatCode>0.00_ 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cat>
          <c:val>
            <c:numRef>
              <c:f>等长!$E$2:$E$19</c:f>
              <c:numCache>
                <c:formatCode>0.00_ </c:formatCode>
                <c:ptCount val="18"/>
                <c:pt idx="0">
                  <c:v>24.810096912652597</c:v>
                </c:pt>
                <c:pt idx="1">
                  <c:v>24.246157759823852</c:v>
                </c:pt>
                <c:pt idx="2">
                  <c:v>23.325317547305481</c:v>
                </c:pt>
                <c:pt idx="3">
                  <c:v>22.075555538987224</c:v>
                </c:pt>
                <c:pt idx="4">
                  <c:v>20.534845121081744</c:v>
                </c:pt>
                <c:pt idx="5">
                  <c:v>18.75</c:v>
                </c:pt>
                <c:pt idx="6">
                  <c:v>16.775251791570859</c:v>
                </c:pt>
                <c:pt idx="7">
                  <c:v>14.67060222083663</c:v>
                </c:pt>
                <c:pt idx="8">
                  <c:v>12.500000000000002</c:v>
                </c:pt>
                <c:pt idx="9">
                  <c:v>10.32939777916337</c:v>
                </c:pt>
                <c:pt idx="10">
                  <c:v>8.2247482084291423</c:v>
                </c:pt>
                <c:pt idx="11">
                  <c:v>6.2500000000000027</c:v>
                </c:pt>
                <c:pt idx="12">
                  <c:v>4.4651548789182591</c:v>
                </c:pt>
                <c:pt idx="13">
                  <c:v>2.9244444610127758</c:v>
                </c:pt>
                <c:pt idx="14">
                  <c:v>1.6746824526945165</c:v>
                </c:pt>
                <c:pt idx="15">
                  <c:v>0.75384224017614598</c:v>
                </c:pt>
                <c:pt idx="16">
                  <c:v>0.18990308734739908</c:v>
                </c:pt>
                <c:pt idx="17">
                  <c:v>9.3811796035311182E-32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C-4DF0-95CA-B4BA1C10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674799"/>
        <c:axId val="2127675631"/>
      </c:lineChart>
      <c:lineChart>
        <c:grouping val="standard"/>
        <c:varyColors val="0"/>
        <c:ser>
          <c:idx val="1"/>
          <c:order val="1"/>
          <c:tx>
            <c:strRef>
              <c:f>等长!$D$1</c:f>
              <c:strCache>
                <c:ptCount val="1"/>
                <c:pt idx="0">
                  <c:v>高度，mm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等长!$D$2:$D$19</c:f>
              <c:numCache>
                <c:formatCode>0.00_ 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C-4DF0-95CA-B4BA1C10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8799"/>
        <c:axId val="2127275119"/>
      </c:lineChart>
      <c:catAx>
        <c:axId val="2127674799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5631"/>
        <c:crosses val="autoZero"/>
        <c:auto val="1"/>
        <c:lblAlgn val="ctr"/>
        <c:lblOffset val="100"/>
        <c:noMultiLvlLbl val="0"/>
      </c:catAx>
      <c:valAx>
        <c:axId val="21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674799"/>
        <c:crosses val="autoZero"/>
        <c:crossBetween val="between"/>
      </c:valAx>
      <c:valAx>
        <c:axId val="2127275119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48799"/>
        <c:crosses val="max"/>
        <c:crossBetween val="between"/>
      </c:valAx>
      <c:catAx>
        <c:axId val="2131448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727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152400</xdr:rowOff>
    </xdr:from>
    <xdr:to>
      <xdr:col>16</xdr:col>
      <xdr:colOff>435665</xdr:colOff>
      <xdr:row>18</xdr:row>
      <xdr:rowOff>92971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54E7FD62-BA6C-44D6-933F-912CF1A5BBD4}"/>
            </a:ext>
          </a:extLst>
        </xdr:cNvPr>
        <xdr:cNvGrpSpPr/>
      </xdr:nvGrpSpPr>
      <xdr:grpSpPr>
        <a:xfrm>
          <a:off x="7141265" y="502920"/>
          <a:ext cx="4572000" cy="2744731"/>
          <a:chOff x="8532743" y="675862"/>
          <a:chExt cx="4572000" cy="2697023"/>
        </a:xfrm>
      </xdr:grpSpPr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7B89B0FB-2AD9-4E0F-8172-9ADD67B2E942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BD951633-2071-4406-B481-EB8A308ACE5F}"/>
              </a:ext>
            </a:extLst>
          </xdr:cNvPr>
          <xdr:cNvCxnSpPr/>
        </xdr:nvCxnSpPr>
        <xdr:spPr>
          <a:xfrm>
            <a:off x="9117495" y="675862"/>
            <a:ext cx="2339009" cy="1948069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A73BCBC-06B9-4268-A971-EA7F4D885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6017" y="65292"/>
          <a:ext cx="3134138" cy="1962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169171</xdr:rowOff>
    </xdr:from>
    <xdr:to>
      <xdr:col>16</xdr:col>
      <xdr:colOff>435665</xdr:colOff>
      <xdr:row>18</xdr:row>
      <xdr:rowOff>92971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ECF133FA-E3E7-46AB-BDBD-0CA8498C2257}"/>
            </a:ext>
          </a:extLst>
        </xdr:cNvPr>
        <xdr:cNvGrpSpPr/>
      </xdr:nvGrpSpPr>
      <xdr:grpSpPr>
        <a:xfrm>
          <a:off x="7134639" y="513728"/>
          <a:ext cx="4572000" cy="2680252"/>
          <a:chOff x="8532743" y="692633"/>
          <a:chExt cx="4572000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DD4BFC0F-9AC8-4E91-A11A-2F987F3FF3BF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8AFA058D-8E76-4BE9-8FA4-9E07603D2CED}"/>
              </a:ext>
            </a:extLst>
          </xdr:cNvPr>
          <xdr:cNvCxnSpPr/>
        </xdr:nvCxnSpPr>
        <xdr:spPr>
          <a:xfrm>
            <a:off x="9104243" y="1358348"/>
            <a:ext cx="2352261" cy="1265583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A1AB821-9178-4437-851E-3677939B6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130865</xdr:colOff>
      <xdr:row>2</xdr:row>
      <xdr:rowOff>169171</xdr:rowOff>
    </xdr:from>
    <xdr:to>
      <xdr:col>16</xdr:col>
      <xdr:colOff>435665</xdr:colOff>
      <xdr:row>18</xdr:row>
      <xdr:rowOff>92971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77A28143-21CA-4AB8-A980-ECA56DB7D8AC}"/>
            </a:ext>
          </a:extLst>
        </xdr:cNvPr>
        <xdr:cNvGrpSpPr/>
      </xdr:nvGrpSpPr>
      <xdr:grpSpPr>
        <a:xfrm>
          <a:off x="7134639" y="513728"/>
          <a:ext cx="4572000" cy="2680252"/>
          <a:chOff x="8532743" y="692633"/>
          <a:chExt cx="4572000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DEACEB33-500A-484A-A94D-A8CE3A3D9C11}"/>
              </a:ext>
            </a:extLst>
          </xdr:cNvPr>
          <xdr:cNvGraphicFramePr/>
        </xdr:nvGraphicFramePr>
        <xdr:xfrm>
          <a:off x="8532743" y="692633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D36B3942-7209-4657-82A1-6837AE98B752}"/>
              </a:ext>
            </a:extLst>
          </xdr:cNvPr>
          <xdr:cNvCxnSpPr/>
        </xdr:nvCxnSpPr>
        <xdr:spPr>
          <a:xfrm>
            <a:off x="9104243" y="1358348"/>
            <a:ext cx="3366052" cy="127883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E11F991-B93B-4E1E-9298-8A6162ECA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A635275-B019-4A29-9F8F-150D87123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  <xdr:twoCellAnchor>
    <xdr:from>
      <xdr:col>9</xdr:col>
      <xdr:colOff>77548</xdr:colOff>
      <xdr:row>3</xdr:row>
      <xdr:rowOff>63154</xdr:rowOff>
    </xdr:from>
    <xdr:to>
      <xdr:col>16</xdr:col>
      <xdr:colOff>574813</xdr:colOff>
      <xdr:row>18</xdr:row>
      <xdr:rowOff>159232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ECCA95B3-4F0D-4401-B522-CDED7B9CD60C}"/>
            </a:ext>
          </a:extLst>
        </xdr:cNvPr>
        <xdr:cNvGrpSpPr/>
      </xdr:nvGrpSpPr>
      <xdr:grpSpPr>
        <a:xfrm>
          <a:off x="7081322" y="579989"/>
          <a:ext cx="4764465" cy="2680252"/>
          <a:chOff x="6942174" y="513728"/>
          <a:chExt cx="4764465" cy="2680252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352E76B4-F2C3-4ADC-B459-49CA05FA73A1}"/>
              </a:ext>
            </a:extLst>
          </xdr:cNvPr>
          <xdr:cNvGraphicFramePr/>
        </xdr:nvGraphicFramePr>
        <xdr:xfrm>
          <a:off x="7134639" y="513728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8C55A0A2-21EC-41AD-BFB9-E24F15611A6E}"/>
              </a:ext>
            </a:extLst>
          </xdr:cNvPr>
          <xdr:cNvCxnSpPr/>
        </xdr:nvCxnSpPr>
        <xdr:spPr>
          <a:xfrm>
            <a:off x="7772400" y="828261"/>
            <a:ext cx="2875722" cy="161676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1EF9787B-810F-4011-A005-5AF952016E0E}"/>
              </a:ext>
            </a:extLst>
          </xdr:cNvPr>
          <xdr:cNvSpPr/>
        </xdr:nvSpPr>
        <xdr:spPr>
          <a:xfrm rot="2136581">
            <a:off x="6942174" y="1343109"/>
            <a:ext cx="4193225" cy="311426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79513</xdr:colOff>
      <xdr:row>0</xdr:row>
      <xdr:rowOff>65292</xdr:rowOff>
    </xdr:from>
    <xdr:to>
      <xdr:col>9</xdr:col>
      <xdr:colOff>46381</xdr:colOff>
      <xdr:row>11</xdr:row>
      <xdr:rowOff>132522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F5BC18F-D99D-48E0-A22D-53A17CF74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8" t="12162" r="938" b="7133"/>
        <a:stretch/>
      </xdr:blipFill>
      <xdr:spPr>
        <a:xfrm>
          <a:off x="3919993" y="65292"/>
          <a:ext cx="3136788" cy="1995090"/>
        </a:xfrm>
        <a:prstGeom prst="rect">
          <a:avLst/>
        </a:prstGeom>
      </xdr:spPr>
    </xdr:pic>
    <xdr:clientData/>
  </xdr:twoCellAnchor>
  <xdr:twoCellAnchor>
    <xdr:from>
      <xdr:col>9</xdr:col>
      <xdr:colOff>77548</xdr:colOff>
      <xdr:row>3</xdr:row>
      <xdr:rowOff>63154</xdr:rowOff>
    </xdr:from>
    <xdr:to>
      <xdr:col>16</xdr:col>
      <xdr:colOff>574813</xdr:colOff>
      <xdr:row>18</xdr:row>
      <xdr:rowOff>159232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42CC3CD2-6ABF-42AA-9D89-3C39D582DC48}"/>
            </a:ext>
          </a:extLst>
        </xdr:cNvPr>
        <xdr:cNvGrpSpPr/>
      </xdr:nvGrpSpPr>
      <xdr:grpSpPr>
        <a:xfrm>
          <a:off x="7081322" y="579989"/>
          <a:ext cx="4764465" cy="2680252"/>
          <a:chOff x="6942174" y="513728"/>
          <a:chExt cx="4764465" cy="2680252"/>
        </a:xfrm>
      </xdr:grpSpPr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4817DAB7-32F8-42F4-B419-64C78D168108}"/>
              </a:ext>
            </a:extLst>
          </xdr:cNvPr>
          <xdr:cNvGraphicFramePr/>
        </xdr:nvGraphicFramePr>
        <xdr:xfrm>
          <a:off x="7134639" y="513728"/>
          <a:ext cx="4572000" cy="26802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F9A9D18F-60EC-450A-9620-645C161B9866}"/>
              </a:ext>
            </a:extLst>
          </xdr:cNvPr>
          <xdr:cNvCxnSpPr/>
        </xdr:nvCxnSpPr>
        <xdr:spPr>
          <a:xfrm>
            <a:off x="7772400" y="828261"/>
            <a:ext cx="2875722" cy="1616765"/>
          </a:xfrm>
          <a:prstGeom prst="line">
            <a:avLst/>
          </a:prstGeom>
          <a:ln w="28575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8E357E12-E0F6-4AE0-8131-9FBFEBAEAB8D}"/>
              </a:ext>
            </a:extLst>
          </xdr:cNvPr>
          <xdr:cNvSpPr/>
        </xdr:nvSpPr>
        <xdr:spPr>
          <a:xfrm rot="2136581">
            <a:off x="6942174" y="1343109"/>
            <a:ext cx="4193225" cy="311426"/>
          </a:xfrm>
          <a:prstGeom prst="rect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141473</xdr:colOff>
      <xdr:row>0</xdr:row>
      <xdr:rowOff>78442</xdr:rowOff>
    </xdr:from>
    <xdr:to>
      <xdr:col>10</xdr:col>
      <xdr:colOff>498787</xdr:colOff>
      <xdr:row>11</xdr:row>
      <xdr:rowOff>78442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43E5DA3-CA94-4354-B2E2-F0723AC5C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7" t="19223" r="2307" b="12188"/>
        <a:stretch/>
      </xdr:blipFill>
      <xdr:spPr>
        <a:xfrm>
          <a:off x="4858253" y="78442"/>
          <a:ext cx="3527234" cy="1927860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0</xdr:row>
      <xdr:rowOff>109538</xdr:rowOff>
    </xdr:from>
    <xdr:to>
      <xdr:col>18</xdr:col>
      <xdr:colOff>342900</xdr:colOff>
      <xdr:row>16</xdr:row>
      <xdr:rowOff>33338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CC1E4ED-1163-4FC6-B9DD-2EF800816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zoomScale="115" zoomScaleNormal="115" workbookViewId="0">
      <selection activeCell="M22" sqref="M22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11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0A7D-D4E1-4534-806A-72D004A64471}">
  <dimension ref="A1:I22"/>
  <sheetViews>
    <sheetView zoomScale="115" zoomScaleNormal="115" workbookViewId="0">
      <selection activeCell="K22" sqref="K22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23D-67E5-4921-85E0-CFC01C432222}">
  <dimension ref="A1:I22"/>
  <sheetViews>
    <sheetView zoomScale="115" zoomScaleNormal="115" workbookViewId="0">
      <selection activeCell="I13" sqref="I13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4B12-4AEB-46CE-AA3E-11760B92F536}">
  <dimension ref="A1:I22"/>
  <sheetViews>
    <sheetView zoomScale="115" zoomScaleNormal="100" workbookViewId="0">
      <selection activeCell="E20" sqref="E20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14.593195081580612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16.779260554261381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18.139595134022059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18.686819792459382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18.543749032038299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17.857204791685319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16.770086866314323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15.384274709417463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13.797416743221914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12.084617674037405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10.323599155115426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8.5686456478005315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6.8807301903198272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5.306178797694149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3.8822644253724437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2.6449775924855903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1.6190188705179216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0.81960260701086707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4483-E589-48C2-926C-468D16CCD0B6}">
  <dimension ref="A1:I22"/>
  <sheetViews>
    <sheetView tabSelected="1" zoomScale="115" zoomScaleNormal="100" workbookViewId="0">
      <selection activeCell="I14" sqref="I14"/>
    </sheetView>
  </sheetViews>
  <sheetFormatPr defaultRowHeight="13.8" x14ac:dyDescent="0.25"/>
  <cols>
    <col min="4" max="4" width="10.6640625" customWidth="1"/>
    <col min="5" max="5" width="18.664062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v>24.68</v>
      </c>
      <c r="C2" s="3">
        <f>180-(360-(180-A2)-B2)</f>
        <v>19.680000000000007</v>
      </c>
      <c r="D2" s="3">
        <v>51.62</v>
      </c>
      <c r="E2" s="3">
        <f t="shared" ref="E2:E3" si="0">$I$13*SIN(B2*PI()/180)/TAN(C2*PI()/180)</f>
        <v>7.5884614424219192</v>
      </c>
    </row>
    <row r="3" spans="1:9" x14ac:dyDescent="0.25">
      <c r="A3" s="3">
        <v>10</v>
      </c>
      <c r="B3" s="3">
        <v>30.98</v>
      </c>
      <c r="C3" s="3">
        <f t="shared" ref="C3:C19" si="1">180-(360-(180-A3)-B3)</f>
        <v>20.97999999999999</v>
      </c>
      <c r="D3" s="3">
        <v>62.71</v>
      </c>
      <c r="E3" s="3">
        <f t="shared" si="0"/>
        <v>8.7252154882159179</v>
      </c>
    </row>
    <row r="4" spans="1:9" x14ac:dyDescent="0.25">
      <c r="A4" s="3">
        <v>15</v>
      </c>
      <c r="B4" s="3">
        <v>37.979999999999997</v>
      </c>
      <c r="C4" s="3">
        <f t="shared" si="1"/>
        <v>22.97999999999999</v>
      </c>
      <c r="D4" s="3">
        <v>74.05</v>
      </c>
      <c r="E4" s="3">
        <f>$I$13*SIN(B4*PI()/180)/TAN(C4*PI()/180)</f>
        <v>9.4325894696914734</v>
      </c>
    </row>
    <row r="5" spans="1:9" x14ac:dyDescent="0.25">
      <c r="A5" s="3">
        <v>20</v>
      </c>
      <c r="B5" s="3">
        <v>45.51</v>
      </c>
      <c r="C5" s="3">
        <f t="shared" si="1"/>
        <v>25.509999999999991</v>
      </c>
      <c r="D5" s="3">
        <v>86.78</v>
      </c>
      <c r="E5" s="3">
        <f>$I$13*SIN(B5*PI()/180)/TAN(C5*PI()/180)</f>
        <v>9.717146292078878</v>
      </c>
    </row>
    <row r="6" spans="1:9" x14ac:dyDescent="0.25">
      <c r="A6" s="3">
        <v>25</v>
      </c>
      <c r="B6" s="3">
        <v>53.43</v>
      </c>
      <c r="C6" s="3">
        <f t="shared" si="1"/>
        <v>28.430000000000007</v>
      </c>
      <c r="D6" s="3">
        <v>99.93</v>
      </c>
      <c r="E6" s="3">
        <f t="shared" ref="E6:E19" si="2">$I$13*SIN(B6*PI()/180)/TAN(C6*PI()/180)</f>
        <v>9.6427494966599152</v>
      </c>
    </row>
    <row r="7" spans="1:9" x14ac:dyDescent="0.25">
      <c r="A7" s="3">
        <v>30</v>
      </c>
      <c r="B7" s="3">
        <v>61.63</v>
      </c>
      <c r="C7" s="3">
        <f t="shared" si="1"/>
        <v>31.629999999999995</v>
      </c>
      <c r="D7" s="3">
        <v>113.17</v>
      </c>
      <c r="E7" s="3">
        <f t="shared" si="2"/>
        <v>9.2857464916763668</v>
      </c>
    </row>
    <row r="8" spans="1:9" x14ac:dyDescent="0.25">
      <c r="A8" s="3">
        <v>35</v>
      </c>
      <c r="B8" s="3">
        <v>70.010000000000005</v>
      </c>
      <c r="C8" s="3">
        <f t="shared" si="1"/>
        <v>35.009999999999991</v>
      </c>
      <c r="D8" s="3">
        <v>126.21</v>
      </c>
      <c r="E8" s="3">
        <f t="shared" si="2"/>
        <v>8.7204451704834476</v>
      </c>
    </row>
    <row r="9" spans="1:9" x14ac:dyDescent="0.25">
      <c r="A9" s="3">
        <v>40</v>
      </c>
      <c r="B9" s="3">
        <v>78.53</v>
      </c>
      <c r="C9" s="3">
        <f t="shared" si="1"/>
        <v>38.53</v>
      </c>
      <c r="D9" s="3">
        <v>138.83000000000001</v>
      </c>
      <c r="E9" s="3">
        <f t="shared" si="2"/>
        <v>7.9998228488970815</v>
      </c>
    </row>
    <row r="10" spans="1:9" x14ac:dyDescent="0.25">
      <c r="A10" s="3">
        <v>45</v>
      </c>
      <c r="B10" s="3">
        <v>87.14</v>
      </c>
      <c r="C10" s="3">
        <f t="shared" si="1"/>
        <v>42.139999999999986</v>
      </c>
      <c r="D10" s="3">
        <v>150.87</v>
      </c>
      <c r="E10" s="3">
        <f t="shared" si="2"/>
        <v>7.1746567064753943</v>
      </c>
    </row>
    <row r="11" spans="1:9" x14ac:dyDescent="0.25">
      <c r="A11" s="3">
        <v>50</v>
      </c>
      <c r="B11" s="3">
        <v>95.82</v>
      </c>
      <c r="C11" s="3">
        <f t="shared" si="1"/>
        <v>45.819999999999993</v>
      </c>
      <c r="D11" s="3">
        <v>162.16999999999999</v>
      </c>
      <c r="E11" s="3">
        <f t="shared" si="2"/>
        <v>6.2840011904994508</v>
      </c>
    </row>
    <row r="12" spans="1:9" x14ac:dyDescent="0.25">
      <c r="A12" s="3">
        <v>55</v>
      </c>
      <c r="B12" s="3">
        <v>104.53</v>
      </c>
      <c r="C12" s="3">
        <f t="shared" si="1"/>
        <v>49.53</v>
      </c>
      <c r="D12" s="3">
        <v>172.62</v>
      </c>
      <c r="E12" s="3">
        <f t="shared" si="2"/>
        <v>5.3682715606600215</v>
      </c>
    </row>
    <row r="13" spans="1:9" x14ac:dyDescent="0.25">
      <c r="A13" s="3">
        <v>60</v>
      </c>
      <c r="B13" s="3">
        <v>113.27</v>
      </c>
      <c r="C13" s="3">
        <f t="shared" si="1"/>
        <v>53.269999999999996</v>
      </c>
      <c r="D13" s="3">
        <v>182.13</v>
      </c>
      <c r="E13" s="3">
        <f t="shared" si="2"/>
        <v>4.4556957368562768</v>
      </c>
      <c r="G13" t="s">
        <v>7</v>
      </c>
      <c r="H13" t="s">
        <v>3</v>
      </c>
      <c r="I13">
        <v>6.5</v>
      </c>
    </row>
    <row r="14" spans="1:9" x14ac:dyDescent="0.25">
      <c r="A14" s="3">
        <v>65</v>
      </c>
      <c r="B14" s="3">
        <v>122.01</v>
      </c>
      <c r="C14" s="3">
        <f t="shared" si="1"/>
        <v>57.010000000000005</v>
      </c>
      <c r="D14" s="3">
        <v>190.61</v>
      </c>
      <c r="E14" s="3">
        <f t="shared" si="2"/>
        <v>3.5779796989663102</v>
      </c>
      <c r="H14" t="s">
        <v>5</v>
      </c>
      <c r="I14">
        <v>90</v>
      </c>
    </row>
    <row r="15" spans="1:9" x14ac:dyDescent="0.25">
      <c r="A15" s="3">
        <v>70</v>
      </c>
      <c r="B15" s="3">
        <v>130.74</v>
      </c>
      <c r="C15" s="3">
        <f t="shared" si="1"/>
        <v>60.740000000000009</v>
      </c>
      <c r="D15" s="3">
        <v>197.99</v>
      </c>
      <c r="E15" s="3">
        <f t="shared" si="2"/>
        <v>2.7592129748009571</v>
      </c>
      <c r="H15" t="s">
        <v>6</v>
      </c>
      <c r="I15">
        <v>130</v>
      </c>
    </row>
    <row r="16" spans="1:9" x14ac:dyDescent="0.25">
      <c r="A16" s="3">
        <v>75</v>
      </c>
      <c r="B16" s="3">
        <v>139.46</v>
      </c>
      <c r="C16" s="3">
        <f t="shared" si="1"/>
        <v>64.460000000000008</v>
      </c>
      <c r="D16" s="3">
        <v>204.23</v>
      </c>
      <c r="E16" s="3">
        <f t="shared" si="2"/>
        <v>2.0187775011936711</v>
      </c>
      <c r="H16" t="s">
        <v>8</v>
      </c>
      <c r="I16">
        <v>32.75</v>
      </c>
    </row>
    <row r="17" spans="1:9" x14ac:dyDescent="0.25">
      <c r="A17" s="3">
        <v>80</v>
      </c>
      <c r="B17" s="3">
        <v>148.15</v>
      </c>
      <c r="C17" s="3">
        <f t="shared" si="1"/>
        <v>68.150000000000006</v>
      </c>
      <c r="D17" s="3">
        <v>209.3</v>
      </c>
      <c r="E17" s="3">
        <f t="shared" si="2"/>
        <v>1.3753883480925071</v>
      </c>
      <c r="H17" t="s">
        <v>10</v>
      </c>
    </row>
    <row r="18" spans="1:9" x14ac:dyDescent="0.25">
      <c r="A18" s="3">
        <v>85</v>
      </c>
      <c r="B18" s="3">
        <v>156.80000000000001</v>
      </c>
      <c r="C18" s="3">
        <f t="shared" si="1"/>
        <v>71.800000000000011</v>
      </c>
      <c r="D18" s="3">
        <v>213.16</v>
      </c>
      <c r="E18" s="3">
        <f t="shared" si="2"/>
        <v>0.84188981266931928</v>
      </c>
      <c r="F18" s="4" t="s">
        <v>12</v>
      </c>
      <c r="G18" s="4"/>
      <c r="H18" s="4"/>
      <c r="I18" s="4"/>
    </row>
    <row r="19" spans="1:9" x14ac:dyDescent="0.25">
      <c r="A19" s="3">
        <v>90</v>
      </c>
      <c r="B19" s="3">
        <v>165.41</v>
      </c>
      <c r="C19" s="3">
        <f t="shared" si="1"/>
        <v>75.41</v>
      </c>
      <c r="D19" s="3">
        <v>215.81</v>
      </c>
      <c r="E19" s="3">
        <f t="shared" si="2"/>
        <v>0.42619335564565086</v>
      </c>
      <c r="F19" s="4"/>
      <c r="G19" s="4"/>
      <c r="H19" s="4"/>
      <c r="I19" s="4"/>
    </row>
    <row r="20" spans="1:9" x14ac:dyDescent="0.25">
      <c r="F20" s="4"/>
      <c r="G20" s="4"/>
      <c r="H20" s="4"/>
      <c r="I20" s="4"/>
    </row>
    <row r="21" spans="1:9" x14ac:dyDescent="0.25">
      <c r="F21" s="4"/>
      <c r="G21" s="4"/>
      <c r="H21" s="4"/>
      <c r="I21" s="4"/>
    </row>
    <row r="22" spans="1:9" x14ac:dyDescent="0.25">
      <c r="F22" s="4"/>
      <c r="G22" s="4"/>
      <c r="H22" s="4"/>
      <c r="I22" s="4"/>
    </row>
  </sheetData>
  <mergeCells count="1">
    <mergeCell ref="F18:I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8445-D97B-488F-A589-B8033BC3C349}">
  <dimension ref="A1:I19"/>
  <sheetViews>
    <sheetView zoomScale="115" zoomScaleNormal="115" workbookViewId="0">
      <selection activeCell="E21" sqref="E21"/>
    </sheetView>
  </sheetViews>
  <sheetFormatPr defaultRowHeight="13.8" x14ac:dyDescent="0.25"/>
  <cols>
    <col min="4" max="4" width="10.6640625" customWidth="1"/>
    <col min="5" max="5" width="22.5546875" customWidth="1"/>
    <col min="8" max="8" width="19.33203125" customWidth="1"/>
    <col min="9" max="9" width="9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/>
    </row>
    <row r="2" spans="1:9" x14ac:dyDescent="0.25">
      <c r="A2" s="3">
        <v>5</v>
      </c>
      <c r="B2" s="3">
        <f>2*A2</f>
        <v>10</v>
      </c>
      <c r="C2" s="3">
        <f>180-(360-(180-A2)-B2)</f>
        <v>5</v>
      </c>
      <c r="D2" s="3"/>
      <c r="E2" s="3">
        <f t="shared" ref="E2:E3" si="0">$I$13*SIN(B2*PI()/180)/TAN(C2*PI()/180)</f>
        <v>24.810096912652597</v>
      </c>
    </row>
    <row r="3" spans="1:9" x14ac:dyDescent="0.25">
      <c r="A3" s="3">
        <v>10</v>
      </c>
      <c r="B3" s="3">
        <f t="shared" ref="B3:B19" si="1">2*A3</f>
        <v>20</v>
      </c>
      <c r="C3" s="3">
        <f t="shared" ref="C3:C19" si="2">180-(360-(180-A3)-B3)</f>
        <v>10</v>
      </c>
      <c r="D3" s="3"/>
      <c r="E3" s="3">
        <f t="shared" si="0"/>
        <v>24.246157759823852</v>
      </c>
    </row>
    <row r="4" spans="1:9" x14ac:dyDescent="0.25">
      <c r="A4" s="3">
        <v>15</v>
      </c>
      <c r="B4" s="3">
        <f t="shared" si="1"/>
        <v>30</v>
      </c>
      <c r="C4" s="3">
        <f t="shared" si="2"/>
        <v>15</v>
      </c>
      <c r="D4" s="3"/>
      <c r="E4" s="3">
        <f>$I$13*SIN(B4*PI()/180)/TAN(C4*PI()/180)</f>
        <v>23.325317547305481</v>
      </c>
    </row>
    <row r="5" spans="1:9" x14ac:dyDescent="0.25">
      <c r="A5" s="3">
        <v>20</v>
      </c>
      <c r="B5" s="3">
        <f t="shared" si="1"/>
        <v>40</v>
      </c>
      <c r="C5" s="3">
        <f t="shared" si="2"/>
        <v>20</v>
      </c>
      <c r="D5" s="3"/>
      <c r="E5" s="3">
        <f>$I$13*SIN(B5*PI()/180)/TAN(C5*PI()/180)</f>
        <v>22.075555538987224</v>
      </c>
    </row>
    <row r="6" spans="1:9" x14ac:dyDescent="0.25">
      <c r="A6" s="3">
        <v>25</v>
      </c>
      <c r="B6" s="3">
        <f t="shared" si="1"/>
        <v>50</v>
      </c>
      <c r="C6" s="3">
        <f t="shared" si="2"/>
        <v>25</v>
      </c>
      <c r="D6" s="3"/>
      <c r="E6" s="3">
        <f t="shared" ref="E6:E19" si="3">$I$13*SIN(B6*PI()/180)/TAN(C6*PI()/180)</f>
        <v>20.534845121081744</v>
      </c>
    </row>
    <row r="7" spans="1:9" x14ac:dyDescent="0.25">
      <c r="A7" s="3">
        <v>30</v>
      </c>
      <c r="B7" s="3">
        <f t="shared" si="1"/>
        <v>60</v>
      </c>
      <c r="C7" s="3">
        <f t="shared" si="2"/>
        <v>30</v>
      </c>
      <c r="D7" s="3"/>
      <c r="E7" s="3">
        <f t="shared" si="3"/>
        <v>18.75</v>
      </c>
    </row>
    <row r="8" spans="1:9" x14ac:dyDescent="0.25">
      <c r="A8" s="3">
        <v>35</v>
      </c>
      <c r="B8" s="3">
        <f t="shared" si="1"/>
        <v>70</v>
      </c>
      <c r="C8" s="3">
        <f t="shared" si="2"/>
        <v>35</v>
      </c>
      <c r="D8" s="3"/>
      <c r="E8" s="3">
        <f t="shared" si="3"/>
        <v>16.775251791570859</v>
      </c>
    </row>
    <row r="9" spans="1:9" x14ac:dyDescent="0.25">
      <c r="A9" s="3">
        <v>40</v>
      </c>
      <c r="B9" s="3">
        <f t="shared" si="1"/>
        <v>80</v>
      </c>
      <c r="C9" s="3">
        <f t="shared" si="2"/>
        <v>40</v>
      </c>
      <c r="D9" s="3"/>
      <c r="E9" s="3">
        <f t="shared" si="3"/>
        <v>14.67060222083663</v>
      </c>
    </row>
    <row r="10" spans="1:9" x14ac:dyDescent="0.25">
      <c r="A10" s="3">
        <v>45</v>
      </c>
      <c r="B10" s="3">
        <f t="shared" si="1"/>
        <v>90</v>
      </c>
      <c r="C10" s="3">
        <f t="shared" si="2"/>
        <v>45</v>
      </c>
      <c r="D10" s="3"/>
      <c r="E10" s="3">
        <f t="shared" si="3"/>
        <v>12.500000000000002</v>
      </c>
    </row>
    <row r="11" spans="1:9" x14ac:dyDescent="0.25">
      <c r="A11" s="3">
        <v>50</v>
      </c>
      <c r="B11" s="3">
        <f t="shared" si="1"/>
        <v>100</v>
      </c>
      <c r="C11" s="3">
        <f t="shared" si="2"/>
        <v>50</v>
      </c>
      <c r="D11" s="3"/>
      <c r="E11" s="3">
        <f t="shared" si="3"/>
        <v>10.32939777916337</v>
      </c>
    </row>
    <row r="12" spans="1:9" x14ac:dyDescent="0.25">
      <c r="A12" s="3">
        <v>55</v>
      </c>
      <c r="B12" s="3">
        <f t="shared" si="1"/>
        <v>110</v>
      </c>
      <c r="C12" s="3">
        <f t="shared" si="2"/>
        <v>55</v>
      </c>
      <c r="D12" s="3"/>
      <c r="E12" s="3">
        <f t="shared" si="3"/>
        <v>8.2247482084291423</v>
      </c>
    </row>
    <row r="13" spans="1:9" x14ac:dyDescent="0.25">
      <c r="A13" s="3">
        <v>60</v>
      </c>
      <c r="B13" s="3">
        <f t="shared" si="1"/>
        <v>120</v>
      </c>
      <c r="C13" s="3">
        <f t="shared" si="2"/>
        <v>60</v>
      </c>
      <c r="D13" s="3"/>
      <c r="E13" s="3">
        <f t="shared" si="3"/>
        <v>6.2500000000000027</v>
      </c>
      <c r="G13" t="s">
        <v>7</v>
      </c>
      <c r="H13" t="s">
        <v>3</v>
      </c>
      <c r="I13">
        <v>12.5</v>
      </c>
    </row>
    <row r="14" spans="1:9" x14ac:dyDescent="0.25">
      <c r="A14" s="3">
        <v>65</v>
      </c>
      <c r="B14" s="3">
        <f t="shared" si="1"/>
        <v>130</v>
      </c>
      <c r="C14" s="3">
        <f t="shared" si="2"/>
        <v>65</v>
      </c>
      <c r="D14" s="3"/>
      <c r="E14" s="3">
        <f t="shared" si="3"/>
        <v>4.4651548789182591</v>
      </c>
      <c r="H14" t="s">
        <v>5</v>
      </c>
      <c r="I14">
        <v>90</v>
      </c>
    </row>
    <row r="15" spans="1:9" x14ac:dyDescent="0.25">
      <c r="A15" s="3">
        <v>70</v>
      </c>
      <c r="B15" s="3">
        <f t="shared" si="1"/>
        <v>140</v>
      </c>
      <c r="C15" s="3">
        <f t="shared" si="2"/>
        <v>70</v>
      </c>
      <c r="D15" s="3"/>
      <c r="E15" s="3">
        <f t="shared" si="3"/>
        <v>2.9244444610127758</v>
      </c>
      <c r="H15" t="s">
        <v>6</v>
      </c>
      <c r="I15">
        <v>130</v>
      </c>
    </row>
    <row r="16" spans="1:9" x14ac:dyDescent="0.25">
      <c r="A16" s="3">
        <v>75</v>
      </c>
      <c r="B16" s="3">
        <f t="shared" si="1"/>
        <v>150</v>
      </c>
      <c r="C16" s="3">
        <f t="shared" si="2"/>
        <v>75</v>
      </c>
      <c r="D16" s="3"/>
      <c r="E16" s="3">
        <f t="shared" si="3"/>
        <v>1.6746824526945165</v>
      </c>
      <c r="H16" t="s">
        <v>8</v>
      </c>
      <c r="I16">
        <v>32.75</v>
      </c>
    </row>
    <row r="17" spans="1:8" x14ac:dyDescent="0.25">
      <c r="A17" s="3">
        <v>80</v>
      </c>
      <c r="B17" s="3">
        <f t="shared" si="1"/>
        <v>160</v>
      </c>
      <c r="C17" s="3">
        <f t="shared" si="2"/>
        <v>80</v>
      </c>
      <c r="D17" s="3"/>
      <c r="E17" s="3">
        <f t="shared" si="3"/>
        <v>0.75384224017614598</v>
      </c>
      <c r="H17" t="s">
        <v>10</v>
      </c>
    </row>
    <row r="18" spans="1:8" x14ac:dyDescent="0.25">
      <c r="A18" s="3">
        <v>85</v>
      </c>
      <c r="B18" s="3">
        <f t="shared" si="1"/>
        <v>170</v>
      </c>
      <c r="C18" s="3">
        <f t="shared" si="2"/>
        <v>85</v>
      </c>
      <c r="D18" s="3"/>
      <c r="E18" s="3">
        <f t="shared" si="3"/>
        <v>0.18990308734739908</v>
      </c>
    </row>
    <row r="19" spans="1:8" x14ac:dyDescent="0.25">
      <c r="A19" s="3">
        <v>90</v>
      </c>
      <c r="B19" s="3">
        <f t="shared" si="1"/>
        <v>180</v>
      </c>
      <c r="C19" s="3">
        <f t="shared" si="2"/>
        <v>90</v>
      </c>
      <c r="D19" s="3"/>
      <c r="E19" s="3">
        <f t="shared" si="3"/>
        <v>9.3811796035311182E-32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无平衡</vt:lpstr>
      <vt:lpstr>无平衡全程</vt:lpstr>
      <vt:lpstr>4</vt:lpstr>
      <vt:lpstr>4更改</vt:lpstr>
      <vt:lpstr>等长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Zhao</dc:creator>
  <cp:lastModifiedBy>Yufei Zhao</cp:lastModifiedBy>
  <dcterms:created xsi:type="dcterms:W3CDTF">2015-06-05T18:19:34Z</dcterms:created>
  <dcterms:modified xsi:type="dcterms:W3CDTF">2025-08-03T15:08:22Z</dcterms:modified>
</cp:coreProperties>
</file>